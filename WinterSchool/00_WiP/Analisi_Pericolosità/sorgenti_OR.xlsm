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D:\Dati\GoogleDrive_Uni_DD\GIT\ISPS\WinterSchool\Analisi_Pericolosità\"/>
    </mc:Choice>
  </mc:AlternateContent>
  <xr:revisionPtr revIDLastSave="0" documentId="13_ncr:1_{C15CC21D-8661-4BC9-9C9A-00A77B1848E9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Foglio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Y8" i="1" l="1"/>
  <c r="AX8" i="1"/>
  <c r="AW8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P8" i="1"/>
  <c r="O8" i="1"/>
  <c r="N8" i="1"/>
  <c r="M8" i="1"/>
  <c r="L8" i="1"/>
  <c r="AY7" i="1"/>
  <c r="AX7" i="1"/>
  <c r="AW7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AY4" i="1"/>
  <c r="AX4" i="1"/>
  <c r="AW4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AY3" i="1"/>
  <c r="AX3" i="1"/>
  <c r="AW3" i="1"/>
  <c r="AV3" i="1"/>
  <c r="AU3" i="1"/>
  <c r="AT3" i="1"/>
  <c r="AS3" i="1"/>
  <c r="AR3" i="1"/>
  <c r="AQ3" i="1"/>
  <c r="AP3" i="1"/>
  <c r="AO3" i="1"/>
  <c r="AN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</calcChain>
</file>

<file path=xl/sharedStrings.xml><?xml version="1.0" encoding="utf-8"?>
<sst xmlns="http://schemas.openxmlformats.org/spreadsheetml/2006/main" count="51" uniqueCount="51">
  <si>
    <t>ID</t>
  </si>
  <si>
    <t>LAMBDA</t>
  </si>
  <si>
    <t>b</t>
  </si>
  <si>
    <t>SLOT2</t>
  </si>
  <si>
    <t>SLOT3</t>
  </si>
  <si>
    <t>SLOT4</t>
  </si>
  <si>
    <t>x1</t>
  </si>
  <si>
    <t>y1</t>
  </si>
  <si>
    <t>x2</t>
  </si>
  <si>
    <t>y2</t>
  </si>
  <si>
    <t>x3</t>
  </si>
  <si>
    <t>y3</t>
  </si>
  <si>
    <t>x4</t>
  </si>
  <si>
    <t>y4</t>
  </si>
  <si>
    <t>x5</t>
  </si>
  <si>
    <t>y5</t>
  </si>
  <si>
    <t>x6</t>
  </si>
  <si>
    <t>y6</t>
  </si>
  <si>
    <t>x7</t>
  </si>
  <si>
    <t>y7</t>
  </si>
  <si>
    <t>x8</t>
  </si>
  <si>
    <t>y8</t>
  </si>
  <si>
    <t>x9</t>
  </si>
  <si>
    <t>y9</t>
  </si>
  <si>
    <t>x10</t>
  </si>
  <si>
    <t>y10</t>
  </si>
  <si>
    <t>x11</t>
  </si>
  <si>
    <t>x12</t>
  </si>
  <si>
    <t>x13</t>
  </si>
  <si>
    <t>x14</t>
  </si>
  <si>
    <t>x16</t>
  </si>
  <si>
    <t>x17</t>
  </si>
  <si>
    <t>x18</t>
  </si>
  <si>
    <t>x19</t>
  </si>
  <si>
    <t>x20</t>
  </si>
  <si>
    <t>y11</t>
  </si>
  <si>
    <t>y12</t>
  </si>
  <si>
    <t>y13</t>
  </si>
  <si>
    <t>y14</t>
  </si>
  <si>
    <t>y15</t>
  </si>
  <si>
    <t>y16</t>
  </si>
  <si>
    <t>y17</t>
  </si>
  <si>
    <t>y18</t>
  </si>
  <si>
    <t>y19</t>
  </si>
  <si>
    <t>y20</t>
  </si>
  <si>
    <t>x15</t>
  </si>
  <si>
    <t>Profondità</t>
  </si>
  <si>
    <t>Sito (Rigido=1)</t>
  </si>
  <si>
    <t>MWmin</t>
  </si>
  <si>
    <t>MWmax</t>
  </si>
  <si>
    <t>Faglia (1 norm,2inv,3trasc,4inde)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</si>
</sst>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ordinate/coordin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ordinate"/>
      <sheetName val="orizzontale"/>
    </sheetNames>
    <sheetDataSet>
      <sheetData sheetId="0"/>
      <sheetData sheetId="1">
        <row r="1">
          <cell r="A1">
            <v>-1</v>
          </cell>
        </row>
        <row r="2">
          <cell r="A2">
            <v>-1</v>
          </cell>
        </row>
        <row r="3">
          <cell r="A3">
            <v>-1</v>
          </cell>
        </row>
        <row r="4">
          <cell r="A4">
            <v>904</v>
          </cell>
          <cell r="B4">
            <v>-56.102725417706417</v>
          </cell>
          <cell r="C4">
            <v>465.4920651463587</v>
          </cell>
          <cell r="D4">
            <v>-17.945163856728932</v>
          </cell>
          <cell r="E4">
            <v>427.70340330018473</v>
          </cell>
          <cell r="F4">
            <v>-33.386823413850159</v>
          </cell>
          <cell r="G4">
            <v>389.86999568116011</v>
          </cell>
          <cell r="H4">
            <v>-78.126762878009117</v>
          </cell>
          <cell r="I4">
            <v>438.26358469136807</v>
          </cell>
          <cell r="J4">
            <v>-56.102725417706417</v>
          </cell>
          <cell r="K4">
            <v>465.4920651463587</v>
          </cell>
        </row>
        <row r="5">
          <cell r="A5">
            <v>905</v>
          </cell>
          <cell r="B5">
            <v>-56.102725417706417</v>
          </cell>
          <cell r="C5">
            <v>465.4920651463587</v>
          </cell>
          <cell r="D5">
            <v>-78.126762878009117</v>
          </cell>
          <cell r="E5">
            <v>438.26358469136807</v>
          </cell>
          <cell r="F5">
            <v>-107.41164915442175</v>
          </cell>
          <cell r="G5">
            <v>469.93954752562195</v>
          </cell>
          <cell r="H5">
            <v>-148.17942845136014</v>
          </cell>
          <cell r="I5">
            <v>452.73034460856019</v>
          </cell>
          <cell r="J5">
            <v>-180.43942518678961</v>
          </cell>
          <cell r="K5">
            <v>431.22325863288341</v>
          </cell>
          <cell r="P5">
            <v>-121.3127059935216</v>
          </cell>
          <cell r="Q5">
            <v>508.38928501611946</v>
          </cell>
          <cell r="R5">
            <v>-68.873234886789291</v>
          </cell>
          <cell r="S5">
            <v>505.19155636128039</v>
          </cell>
          <cell r="T5">
            <v>-59.082340259529595</v>
          </cell>
          <cell r="U5">
            <v>468.44245960125608</v>
          </cell>
          <cell r="V5">
            <v>-56.102725417706417</v>
          </cell>
          <cell r="W5">
            <v>465.4920651463587</v>
          </cell>
        </row>
        <row r="6">
          <cell r="A6">
            <v>-1</v>
          </cell>
        </row>
        <row r="7">
          <cell r="A7">
            <v>-1</v>
          </cell>
        </row>
        <row r="8">
          <cell r="A8">
            <v>-1</v>
          </cell>
        </row>
        <row r="9">
          <cell r="A9">
            <v>-1</v>
          </cell>
        </row>
        <row r="10">
          <cell r="A10">
            <v>-1</v>
          </cell>
        </row>
        <row r="11">
          <cell r="A11">
            <v>-1</v>
          </cell>
        </row>
        <row r="12">
          <cell r="A12">
            <v>-1</v>
          </cell>
          <cell r="B12">
            <v>-198.67713004233676</v>
          </cell>
          <cell r="C12">
            <v>315.39130823473539</v>
          </cell>
          <cell r="D12">
            <v>-172.61176029546587</v>
          </cell>
          <cell r="E12">
            <v>280.29904994977358</v>
          </cell>
          <cell r="F12">
            <v>-183.79045387203556</v>
          </cell>
          <cell r="G12">
            <v>244.22926846880188</v>
          </cell>
          <cell r="H12">
            <v>-198.59391563632934</v>
          </cell>
          <cell r="I12">
            <v>265.97296813963351</v>
          </cell>
        </row>
        <row r="13">
          <cell r="A13">
            <v>-1</v>
          </cell>
        </row>
        <row r="14">
          <cell r="A14">
            <v>-1</v>
          </cell>
          <cell r="B14">
            <v>-198.59391563632934</v>
          </cell>
          <cell r="C14">
            <v>265.97296813963351</v>
          </cell>
          <cell r="D14">
            <v>-183.79045387203556</v>
          </cell>
          <cell r="E14">
            <v>244.22926846880188</v>
          </cell>
          <cell r="F14">
            <v>-197.29806983193058</v>
          </cell>
          <cell r="G14">
            <v>209.94083029277249</v>
          </cell>
        </row>
        <row r="15">
          <cell r="A15">
            <v>-1</v>
          </cell>
          <cell r="B15">
            <v>0</v>
          </cell>
          <cell r="C15">
            <v>0</v>
          </cell>
          <cell r="D15">
            <v>0</v>
          </cell>
        </row>
        <row r="16">
          <cell r="A16">
            <v>-1</v>
          </cell>
        </row>
        <row r="17">
          <cell r="A17">
            <v>917</v>
          </cell>
          <cell r="B17">
            <v>-183.79045387203556</v>
          </cell>
          <cell r="C17">
            <v>244.22926846880188</v>
          </cell>
          <cell r="D17">
            <v>-172.61176029546587</v>
          </cell>
          <cell r="E17">
            <v>280.29904994977358</v>
          </cell>
          <cell r="F17">
            <v>-63.391105822701704</v>
          </cell>
          <cell r="G17">
            <v>180.04131386270373</v>
          </cell>
          <cell r="H17">
            <v>-45.983074466287569</v>
          </cell>
          <cell r="I17">
            <v>138.05158388810327</v>
          </cell>
          <cell r="J17">
            <v>-32.635083305087463</v>
          </cell>
          <cell r="K17">
            <v>59.732592379245908</v>
          </cell>
          <cell r="L17">
            <v>-83.65367811775009</v>
          </cell>
          <cell r="M17">
            <v>151.438929483057</v>
          </cell>
          <cell r="N17">
            <v>-183.79045387203556</v>
          </cell>
          <cell r="O17">
            <v>244.22926846880188</v>
          </cell>
        </row>
        <row r="18">
          <cell r="A18">
            <v>918</v>
          </cell>
          <cell r="B18">
            <v>-197.29806983193058</v>
          </cell>
          <cell r="C18">
            <v>209.94083029277249</v>
          </cell>
          <cell r="D18">
            <v>-183.79045387203556</v>
          </cell>
          <cell r="E18">
            <v>244.22926846880188</v>
          </cell>
          <cell r="F18">
            <v>-83.65367811775009</v>
          </cell>
          <cell r="G18">
            <v>151.438929483057</v>
          </cell>
          <cell r="H18">
            <v>-32.635083305087463</v>
          </cell>
          <cell r="I18">
            <v>59.732592379245908</v>
          </cell>
          <cell r="J18">
            <v>-17.160734215818231</v>
          </cell>
          <cell r="K18">
            <v>23.522850591671652</v>
          </cell>
          <cell r="L18">
            <v>-25.1395839749453</v>
          </cell>
          <cell r="M18">
            <v>-8.9196326876161613</v>
          </cell>
          <cell r="N18">
            <v>-115.89095098340138</v>
          </cell>
          <cell r="O18">
            <v>122.51471348545979</v>
          </cell>
          <cell r="P18">
            <v>-197.29806983193058</v>
          </cell>
          <cell r="Q18">
            <v>209.94083029277249</v>
          </cell>
        </row>
        <row r="19">
          <cell r="A19">
            <v>-1</v>
          </cell>
          <cell r="B19">
            <v>-197.29806983193058</v>
          </cell>
          <cell r="C19">
            <v>209.94083029277249</v>
          </cell>
          <cell r="D19">
            <v>-115.89095098340138</v>
          </cell>
          <cell r="E19">
            <v>122.51471348545979</v>
          </cell>
          <cell r="F19">
            <v>-148.35467920683126</v>
          </cell>
          <cell r="G19">
            <v>82.985972472840913</v>
          </cell>
          <cell r="H19">
            <v>-175.80920528895845</v>
          </cell>
          <cell r="I19">
            <v>135.01745453162025</v>
          </cell>
        </row>
        <row r="20">
          <cell r="A20">
            <v>-1</v>
          </cell>
          <cell r="B20">
            <v>-175.80920528895845</v>
          </cell>
          <cell r="C20">
            <v>135.01745453162025</v>
          </cell>
          <cell r="D20">
            <v>-148.35467920683126</v>
          </cell>
          <cell r="E20">
            <v>82.985972472840913</v>
          </cell>
          <cell r="F20">
            <v>-134.90619657473894</v>
          </cell>
          <cell r="G20">
            <v>57.498157033238563</v>
          </cell>
          <cell r="H20">
            <v>-87.326926992898521</v>
          </cell>
          <cell r="I20">
            <v>-9.1268825396206221</v>
          </cell>
          <cell r="J20">
            <v>-81.700308735465043</v>
          </cell>
          <cell r="K20">
            <v>-44.871157035620882</v>
          </cell>
          <cell r="L20">
            <v>-104.56627118685761</v>
          </cell>
          <cell r="M20">
            <v>-52.193238370289095</v>
          </cell>
          <cell r="N20">
            <v>-127.4000103937412</v>
          </cell>
          <cell r="O20">
            <v>-20.698114471481183</v>
          </cell>
          <cell r="P20">
            <v>-151.71430348992092</v>
          </cell>
          <cell r="Q20">
            <v>4.157236424854025</v>
          </cell>
          <cell r="R20">
            <v>-155.66527422883269</v>
          </cell>
          <cell r="S20">
            <v>9.0315909345792598</v>
          </cell>
          <cell r="T20">
            <v>-168.34621751276345</v>
          </cell>
          <cell r="U20">
            <v>25.735171089672484</v>
          </cell>
          <cell r="V20">
            <v>-188.80499111878535</v>
          </cell>
          <cell r="W20">
            <v>63.947734594785608</v>
          </cell>
          <cell r="X20">
            <v>-198.03343346502348</v>
          </cell>
          <cell r="Y20">
            <v>81.184320894809446</v>
          </cell>
        </row>
        <row r="21">
          <cell r="A21">
            <v>-1</v>
          </cell>
          <cell r="B21">
            <v>0</v>
          </cell>
          <cell r="C21">
            <v>0</v>
          </cell>
          <cell r="D21">
            <v>0</v>
          </cell>
        </row>
        <row r="22">
          <cell r="A22">
            <v>922</v>
          </cell>
          <cell r="B22">
            <v>-155.66527422883269</v>
          </cell>
          <cell r="C22">
            <v>9.0315909345792598</v>
          </cell>
          <cell r="D22">
            <v>-151.71430348992092</v>
          </cell>
          <cell r="E22">
            <v>4.157236424854025</v>
          </cell>
          <cell r="F22">
            <v>-127.4000103937412</v>
          </cell>
          <cell r="G22">
            <v>-20.698114471481183</v>
          </cell>
          <cell r="H22">
            <v>-162.51396942143504</v>
          </cell>
          <cell r="I22">
            <v>-46.421749378917738</v>
          </cell>
          <cell r="J22">
            <v>-184.98554260294674</v>
          </cell>
          <cell r="K22">
            <v>-14.823421814002097</v>
          </cell>
          <cell r="L22">
            <v>-155.66527422883269</v>
          </cell>
          <cell r="M22">
            <v>9.0315909345792598</v>
          </cell>
        </row>
        <row r="23">
          <cell r="A23">
            <v>923</v>
          </cell>
          <cell r="B23">
            <v>-115.89095098340138</v>
          </cell>
          <cell r="C23">
            <v>122.51471348545979</v>
          </cell>
          <cell r="D23">
            <v>-25.1395839749453</v>
          </cell>
          <cell r="E23">
            <v>-8.9196326876161613</v>
          </cell>
          <cell r="F23">
            <v>-27.351297482295895</v>
          </cell>
          <cell r="G23">
            <v>-17.912414392063393</v>
          </cell>
          <cell r="H23">
            <v>-37.041571570686585</v>
          </cell>
          <cell r="I23">
            <v>-57.322938237249851</v>
          </cell>
          <cell r="J23">
            <v>-81.700308735465043</v>
          </cell>
          <cell r="K23">
            <v>-44.871157035620882</v>
          </cell>
          <cell r="L23">
            <v>-87.326926992898521</v>
          </cell>
          <cell r="M23">
            <v>-9.1268825396206221</v>
          </cell>
          <cell r="N23">
            <v>-134.90619657473894</v>
          </cell>
          <cell r="O23">
            <v>57.498157033238563</v>
          </cell>
          <cell r="P23">
            <v>-148.35467920683126</v>
          </cell>
          <cell r="Q23">
            <v>82.985972472840913</v>
          </cell>
          <cell r="R23">
            <v>-115.89095098340138</v>
          </cell>
          <cell r="S23">
            <v>122.51471348545979</v>
          </cell>
        </row>
        <row r="24">
          <cell r="A24">
            <v>924</v>
          </cell>
          <cell r="B24">
            <v>-23.941914236715412</v>
          </cell>
          <cell r="C24">
            <v>-21.120393550626932</v>
          </cell>
          <cell r="D24">
            <v>59.245032704289883</v>
          </cell>
          <cell r="E24">
            <v>1.3063713598810136</v>
          </cell>
          <cell r="F24">
            <v>151.97541296172236</v>
          </cell>
          <cell r="G24">
            <v>2.6063675916371869</v>
          </cell>
          <cell r="H24">
            <v>152.40877987876033</v>
          </cell>
          <cell r="I24">
            <v>-43.7606865360355</v>
          </cell>
          <cell r="J24">
            <v>62.278258501219561</v>
          </cell>
          <cell r="K24">
            <v>-42.460692175626754</v>
          </cell>
          <cell r="L24">
            <v>5.6918219182248579</v>
          </cell>
          <cell r="M24">
            <v>-49.003136008168568</v>
          </cell>
          <cell r="N24">
            <v>-23.941914236715412</v>
          </cell>
          <cell r="O24">
            <v>-21.120393550626932</v>
          </cell>
        </row>
        <row r="25">
          <cell r="A25">
            <v>925</v>
          </cell>
          <cell r="B25">
            <v>30.078022667971791</v>
          </cell>
          <cell r="C25">
            <v>-71.949091452445842</v>
          </cell>
          <cell r="D25">
            <v>162.3751815884381</v>
          </cell>
          <cell r="E25">
            <v>-69.327707057302817</v>
          </cell>
          <cell r="F25">
            <v>163.24187543976203</v>
          </cell>
          <cell r="G25">
            <v>-109.62827259196341</v>
          </cell>
          <cell r="H25">
            <v>72.395318561297842</v>
          </cell>
          <cell r="I25">
            <v>-111.76655354655068</v>
          </cell>
          <cell r="J25">
            <v>30.078022667971791</v>
          </cell>
          <cell r="K25">
            <v>-71.949091452445842</v>
          </cell>
        </row>
        <row r="26">
          <cell r="A26">
            <v>926</v>
          </cell>
          <cell r="B26">
            <v>90.827969609073591</v>
          </cell>
          <cell r="C26">
            <v>-136.21370068970694</v>
          </cell>
          <cell r="D26">
            <v>218.11244361434575</v>
          </cell>
          <cell r="E26">
            <v>-140.43116024035496</v>
          </cell>
          <cell r="F26">
            <v>218.50291605021314</v>
          </cell>
          <cell r="G26">
            <v>-160.14950538569968</v>
          </cell>
          <cell r="H26">
            <v>108.15548477348382</v>
          </cell>
          <cell r="I26">
            <v>-159.19492747645825</v>
          </cell>
          <cell r="J26">
            <v>90.827969609073591</v>
          </cell>
          <cell r="K26">
            <v>-136.21370068970694</v>
          </cell>
        </row>
        <row r="27">
          <cell r="A27">
            <v>927</v>
          </cell>
          <cell r="B27">
            <v>-27.351297482295895</v>
          </cell>
          <cell r="C27">
            <v>-17.912414392063393</v>
          </cell>
          <cell r="D27">
            <v>-23.941914236715412</v>
          </cell>
          <cell r="E27">
            <v>-21.120393550626932</v>
          </cell>
          <cell r="F27">
            <v>5.6918219182248579</v>
          </cell>
          <cell r="G27">
            <v>-49.003136008168568</v>
          </cell>
          <cell r="H27">
            <v>30.078022667971791</v>
          </cell>
          <cell r="I27">
            <v>-71.949091452445842</v>
          </cell>
          <cell r="J27">
            <v>72.395318561297842</v>
          </cell>
          <cell r="K27">
            <v>-111.76655354655068</v>
          </cell>
          <cell r="L27">
            <v>90.827969609073591</v>
          </cell>
          <cell r="M27">
            <v>-136.21370068970694</v>
          </cell>
          <cell r="N27">
            <v>108.15548477348382</v>
          </cell>
          <cell r="O27">
            <v>-159.19492747645825</v>
          </cell>
          <cell r="P27">
            <v>119.39531305303552</v>
          </cell>
          <cell r="Q27">
            <v>-174.10182559677867</v>
          </cell>
          <cell r="R27">
            <v>133.43984512873135</v>
          </cell>
          <cell r="S27">
            <v>-208.27841507894453</v>
          </cell>
          <cell r="X27">
            <v>99.879854669530062</v>
          </cell>
          <cell r="Y27">
            <v>-213.32687630839646</v>
          </cell>
          <cell r="Z27">
            <v>81.093646231692404</v>
          </cell>
          <cell r="AA27">
            <v>-165.60820907940436</v>
          </cell>
          <cell r="AB27">
            <v>36.982739530735124</v>
          </cell>
          <cell r="AC27">
            <v>-116.77497172286083</v>
          </cell>
          <cell r="AD27">
            <v>34.484543623388802</v>
          </cell>
          <cell r="AE27">
            <v>-114.76808910843916</v>
          </cell>
          <cell r="AF27">
            <v>8.906334510849323</v>
          </cell>
          <cell r="AG27">
            <v>-94.225586595071476</v>
          </cell>
          <cell r="AH27">
            <v>-37.041571570686585</v>
          </cell>
          <cell r="AI27">
            <v>-57.322938237249851</v>
          </cell>
          <cell r="AJ27">
            <v>-27.351297482295895</v>
          </cell>
          <cell r="AK27">
            <v>-17.912414392063393</v>
          </cell>
        </row>
        <row r="28">
          <cell r="A28">
            <v>928</v>
          </cell>
          <cell r="B28">
            <v>34.484543623388802</v>
          </cell>
          <cell r="C28">
            <v>-114.76808910843916</v>
          </cell>
          <cell r="D28">
            <v>-57.280580777153837</v>
          </cell>
          <cell r="E28">
            <v>-148.22119485328997</v>
          </cell>
          <cell r="F28">
            <v>-68.237652954581023</v>
          </cell>
          <cell r="G28">
            <v>-122.1968338668691</v>
          </cell>
          <cell r="H28">
            <v>8.906334510849323</v>
          </cell>
          <cell r="I28">
            <v>-94.225586595071476</v>
          </cell>
          <cell r="J28">
            <v>34.484543623388802</v>
          </cell>
          <cell r="K28">
            <v>-114.76808910843916</v>
          </cell>
        </row>
        <row r="29">
          <cell r="A29">
            <v>-1</v>
          </cell>
        </row>
        <row r="30">
          <cell r="A30">
            <v>-1</v>
          </cell>
        </row>
        <row r="31">
          <cell r="A31">
            <v>-1</v>
          </cell>
        </row>
        <row r="32">
          <cell r="A32">
            <v>-1</v>
          </cell>
        </row>
        <row r="33">
          <cell r="A33">
            <v>-1</v>
          </cell>
        </row>
        <row r="34">
          <cell r="A34">
            <v>-1</v>
          </cell>
        </row>
        <row r="35">
          <cell r="A35">
            <v>-1</v>
          </cell>
        </row>
        <row r="36">
          <cell r="A36">
            <v>-1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Y8"/>
  <sheetViews>
    <sheetView tabSelected="1" workbookViewId="0">
      <selection sqref="A1:XFD1"/>
    </sheetView>
  </sheetViews>
  <sheetFormatPr defaultRowHeight="14.4" x14ac:dyDescent="0.3"/>
  <cols>
    <col min="1" max="6" width="8.88671875" style="1"/>
    <col min="7" max="7" width="12.6640625" style="1" bestFit="1" customWidth="1"/>
    <col min="8" max="19" width="8.88671875" style="1"/>
    <col min="20" max="20" width="9.21875" style="1" bestFit="1" customWidth="1"/>
    <col min="21" max="16384" width="8.88671875" style="1"/>
  </cols>
  <sheetData>
    <row r="1" spans="1:51" x14ac:dyDescent="0.3">
      <c r="A1" s="1" t="s">
        <v>0</v>
      </c>
      <c r="B1" s="1" t="s">
        <v>1</v>
      </c>
      <c r="C1" s="1" t="s">
        <v>48</v>
      </c>
      <c r="D1" s="1" t="s">
        <v>49</v>
      </c>
      <c r="E1" s="1" t="s">
        <v>2</v>
      </c>
      <c r="F1" s="1" t="s">
        <v>46</v>
      </c>
      <c r="G1" s="1" t="s">
        <v>47</v>
      </c>
      <c r="H1" s="1" t="s">
        <v>50</v>
      </c>
      <c r="I1" s="1" t="s">
        <v>3</v>
      </c>
      <c r="J1" s="1" t="s">
        <v>4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12</v>
      </c>
      <c r="S1" s="1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1" t="s">
        <v>21</v>
      </c>
      <c r="AB1" s="1" t="s">
        <v>22</v>
      </c>
      <c r="AC1" s="1" t="s">
        <v>23</v>
      </c>
      <c r="AD1" s="1" t="s">
        <v>24</v>
      </c>
      <c r="AE1" s="1" t="s">
        <v>25</v>
      </c>
      <c r="AF1" s="1" t="s">
        <v>26</v>
      </c>
      <c r="AG1" s="1" t="s">
        <v>35</v>
      </c>
      <c r="AH1" s="1" t="s">
        <v>27</v>
      </c>
      <c r="AI1" s="1" t="s">
        <v>36</v>
      </c>
      <c r="AJ1" s="1" t="s">
        <v>28</v>
      </c>
      <c r="AK1" s="1" t="s">
        <v>37</v>
      </c>
      <c r="AL1" s="1" t="s">
        <v>29</v>
      </c>
      <c r="AM1" s="1" t="s">
        <v>38</v>
      </c>
      <c r="AN1" s="1" t="s">
        <v>45</v>
      </c>
      <c r="AO1" s="1" t="s">
        <v>39</v>
      </c>
      <c r="AP1" s="1" t="s">
        <v>30</v>
      </c>
      <c r="AQ1" s="1" t="s">
        <v>40</v>
      </c>
      <c r="AR1" s="1" t="s">
        <v>31</v>
      </c>
      <c r="AS1" s="1" t="s">
        <v>41</v>
      </c>
      <c r="AT1" s="1" t="s">
        <v>32</v>
      </c>
      <c r="AU1" s="1" t="s">
        <v>42</v>
      </c>
      <c r="AV1" s="1" t="s">
        <v>33</v>
      </c>
      <c r="AW1" s="1" t="s">
        <v>43</v>
      </c>
      <c r="AX1" s="1" t="s">
        <v>34</v>
      </c>
      <c r="AY1" s="1" t="s">
        <v>44</v>
      </c>
    </row>
    <row r="2" spans="1:51" x14ac:dyDescent="0.3">
      <c r="A2" s="1">
        <v>929</v>
      </c>
      <c r="B2" s="1">
        <v>0.17</v>
      </c>
      <c r="C2" s="1">
        <v>4.76</v>
      </c>
      <c r="D2" s="1">
        <v>7.29</v>
      </c>
      <c r="E2" s="1">
        <v>0.79</v>
      </c>
      <c r="F2" s="1">
        <v>0</v>
      </c>
      <c r="G2" s="1">
        <v>0</v>
      </c>
      <c r="H2" s="1">
        <v>1</v>
      </c>
      <c r="L2" s="1">
        <f>VLOOKUP($A2,[1]orizzontale!$A$1:$AO$36,2)</f>
        <v>0</v>
      </c>
      <c r="M2" s="1">
        <f>VLOOKUP($A2,[1]orizzontale!$A$1:$AO$36,3)</f>
        <v>0</v>
      </c>
      <c r="N2" s="1">
        <f>VLOOKUP($A2,[1]orizzontale!$A$1:$AO$36,4)</f>
        <v>0</v>
      </c>
      <c r="O2" s="1">
        <f>VLOOKUP($A2,[1]orizzontale!$A$1:$AO$36,5)</f>
        <v>0</v>
      </c>
      <c r="P2" s="1">
        <f>VLOOKUP($A2,[1]orizzontale!$A$1:$AO$36,6)</f>
        <v>0</v>
      </c>
      <c r="Q2" s="1">
        <f>VLOOKUP($A2,[1]orizzontale!$A$1:$AO$36,7)</f>
        <v>0</v>
      </c>
      <c r="R2" s="1">
        <f>VLOOKUP($A2,[1]orizzontale!$A$1:$AO$36,8)</f>
        <v>0</v>
      </c>
      <c r="S2" s="1">
        <f>VLOOKUP($A2,[1]orizzontale!$A$1:$AO$36,9)</f>
        <v>0</v>
      </c>
      <c r="T2" s="1">
        <f>VLOOKUP($A2,[1]orizzontale!$A$1:$AO$36,10)</f>
        <v>0</v>
      </c>
      <c r="U2" s="1">
        <f>VLOOKUP($A2,[1]orizzontale!$A$1:$AO$36,11)</f>
        <v>0</v>
      </c>
      <c r="V2" s="1">
        <f>VLOOKUP($A2,[1]orizzontale!$A$1:$AO$36,12)</f>
        <v>0</v>
      </c>
      <c r="W2" s="1">
        <f>VLOOKUP($A2,[1]orizzontale!$A$1:$AO$36,13)</f>
        <v>0</v>
      </c>
      <c r="X2" s="1">
        <f>VLOOKUP($A2,[1]orizzontale!$A$1:$AO$36,14)</f>
        <v>0</v>
      </c>
      <c r="Y2" s="1">
        <f>VLOOKUP($A2,[1]orizzontale!$A$1:$AO$36,15)</f>
        <v>0</v>
      </c>
      <c r="Z2" s="1">
        <f>VLOOKUP($A2,[1]orizzontale!$A$1:$AO$36,16)</f>
        <v>0</v>
      </c>
      <c r="AA2" s="1">
        <f>VLOOKUP($A2,[1]orizzontale!$A$1:$AO$36,17)</f>
        <v>0</v>
      </c>
      <c r="AB2" s="1">
        <f>VLOOKUP($A2,[1]orizzontale!$A$1:$AO$36,18)</f>
        <v>0</v>
      </c>
      <c r="AC2" s="1">
        <f>VLOOKUP($A2,[1]orizzontale!$A$1:$AO$36,19)</f>
        <v>0</v>
      </c>
      <c r="AD2" s="1">
        <f>VLOOKUP($A2,[1]orizzontale!$A$1:$AO$36,20)</f>
        <v>0</v>
      </c>
      <c r="AE2" s="1">
        <f>VLOOKUP($A2,[1]orizzontale!$A$1:$AO$36,21)</f>
        <v>0</v>
      </c>
      <c r="AF2" s="1">
        <f>VLOOKUP($A2,[1]orizzontale!$A$1:$AO$36,22)</f>
        <v>0</v>
      </c>
      <c r="AG2" s="1">
        <f>VLOOKUP($A2,[1]orizzontale!$A$1:$AO$36,23)</f>
        <v>0</v>
      </c>
      <c r="AH2" s="1">
        <f>VLOOKUP($A2,[1]orizzontale!$A$1:$AO$36,24)</f>
        <v>0</v>
      </c>
      <c r="AI2" s="1">
        <f>VLOOKUP($A2,[1]orizzontale!$A$1:$AO$36,25)</f>
        <v>0</v>
      </c>
      <c r="AJ2" s="1">
        <f>VLOOKUP($A2,[1]orizzontale!$A$1:$AO$36,26)</f>
        <v>0</v>
      </c>
      <c r="AK2" s="1">
        <f>VLOOKUP($A2,[1]orizzontale!$A$1:$AO$36,27)</f>
        <v>0</v>
      </c>
      <c r="AL2" s="1">
        <f>VLOOKUP($A2,[1]orizzontale!$A$1:$AO$36,28)</f>
        <v>0</v>
      </c>
      <c r="AM2" s="1">
        <f>VLOOKUP($A2,[1]orizzontale!$A$1:$AO$36,29)</f>
        <v>0</v>
      </c>
      <c r="AN2" s="1">
        <f>VLOOKUP($A2,[1]orizzontale!$A$1:$AO$36,30)</f>
        <v>0</v>
      </c>
      <c r="AO2" s="1">
        <f>VLOOKUP($A2,[1]orizzontale!$A$1:$AO$36,31)</f>
        <v>0</v>
      </c>
      <c r="AP2" s="1">
        <f>VLOOKUP($A2,[1]orizzontale!$A$1:$AO$36,32)</f>
        <v>0</v>
      </c>
      <c r="AQ2" s="1">
        <f>VLOOKUP($A2,[1]orizzontale!$A$1:$AO$36,33)</f>
        <v>0</v>
      </c>
      <c r="AR2" s="1">
        <f>VLOOKUP($A2,[1]orizzontale!$A$1:$AO$36,34)</f>
        <v>0</v>
      </c>
      <c r="AS2" s="1">
        <f>VLOOKUP($A2,[1]orizzontale!$A$1:$AO$36,35)</f>
        <v>0</v>
      </c>
      <c r="AT2" s="1">
        <f>VLOOKUP($A2,[1]orizzontale!$A$1:$AO$36,36)</f>
        <v>0</v>
      </c>
      <c r="AU2" s="1">
        <f>VLOOKUP($A2,[1]orizzontale!$A$1:$AO$36,37)</f>
        <v>0</v>
      </c>
      <c r="AV2" s="1">
        <f>VLOOKUP($A2,[1]orizzontale!$A$1:$AO$36,38)</f>
        <v>0</v>
      </c>
      <c r="AW2" s="1">
        <f>VLOOKUP($A2,[1]orizzontale!$A$1:$AO$36,39)</f>
        <v>0</v>
      </c>
      <c r="AX2" s="1">
        <f>VLOOKUP($A2,[1]orizzontale!$A$1:$AO$36,40)</f>
        <v>0</v>
      </c>
      <c r="AY2" s="1">
        <f>VLOOKUP($A2,[1]orizzontale!$A$1:$AO$36,41)</f>
        <v>0</v>
      </c>
    </row>
    <row r="3" spans="1:51" x14ac:dyDescent="0.3">
      <c r="A3" s="1">
        <v>930</v>
      </c>
      <c r="B3" s="1">
        <v>0.21</v>
      </c>
      <c r="C3" s="1">
        <v>4.76</v>
      </c>
      <c r="D3" s="1">
        <v>6.6</v>
      </c>
      <c r="E3" s="1">
        <v>0.89</v>
      </c>
      <c r="F3" s="1">
        <v>0</v>
      </c>
      <c r="G3" s="1">
        <v>0</v>
      </c>
      <c r="H3" s="1">
        <v>4</v>
      </c>
      <c r="L3" s="1">
        <f>VLOOKUP($A3,[1]orizzontale!$A$1:$AO$36,2)</f>
        <v>0</v>
      </c>
      <c r="M3" s="1">
        <f>VLOOKUP($A3,[1]orizzontale!$A$1:$AO$36,3)</f>
        <v>0</v>
      </c>
      <c r="N3" s="1">
        <f>VLOOKUP($A3,[1]orizzontale!$A$1:$AO$36,4)</f>
        <v>0</v>
      </c>
      <c r="O3" s="1">
        <f>VLOOKUP($A3,[1]orizzontale!$A$1:$AO$36,5)</f>
        <v>0</v>
      </c>
      <c r="P3" s="1">
        <f>VLOOKUP($A3,[1]orizzontale!$A$1:$AO$36,6)</f>
        <v>0</v>
      </c>
      <c r="Q3" s="1">
        <f>VLOOKUP($A3,[1]orizzontale!$A$1:$AO$36,7)</f>
        <v>0</v>
      </c>
      <c r="R3" s="1">
        <f>VLOOKUP($A3,[1]orizzontale!$A$1:$AO$36,8)</f>
        <v>0</v>
      </c>
      <c r="S3" s="1">
        <f>VLOOKUP($A3,[1]orizzontale!$A$1:$AO$36,9)</f>
        <v>0</v>
      </c>
      <c r="T3" s="1">
        <f>VLOOKUP($A3,[1]orizzontale!$A$1:$AO$36,10)</f>
        <v>0</v>
      </c>
      <c r="U3" s="1">
        <f>VLOOKUP($A3,[1]orizzontale!$A$1:$AO$36,11)</f>
        <v>0</v>
      </c>
      <c r="V3" s="1">
        <f>VLOOKUP($A3,[1]orizzontale!$A$1:$AO$36,12)</f>
        <v>0</v>
      </c>
      <c r="W3" s="1">
        <f>VLOOKUP($A3,[1]orizzontale!$A$1:$AO$36,13)</f>
        <v>0</v>
      </c>
      <c r="X3" s="1">
        <f>VLOOKUP($A3,[1]orizzontale!$A$1:$AO$36,14)</f>
        <v>0</v>
      </c>
      <c r="Y3" s="1">
        <f>VLOOKUP($A3,[1]orizzontale!$A$1:$AO$36,15)</f>
        <v>0</v>
      </c>
      <c r="Z3" s="1">
        <f>VLOOKUP($A3,[1]orizzontale!$A$1:$AO$36,16)</f>
        <v>0</v>
      </c>
      <c r="AA3" s="1">
        <f>VLOOKUP($A3,[1]orizzontale!$A$1:$AO$36,17)</f>
        <v>0</v>
      </c>
      <c r="AB3" s="1">
        <f>VLOOKUP($A3,[1]orizzontale!$A$1:$AO$36,18)</f>
        <v>0</v>
      </c>
      <c r="AC3" s="1">
        <f>VLOOKUP($A3,[1]orizzontale!$A$1:$AO$36,19)</f>
        <v>0</v>
      </c>
      <c r="AD3" s="1">
        <f>VLOOKUP($A3,[1]orizzontale!$A$1:$AO$36,20)</f>
        <v>0</v>
      </c>
      <c r="AE3" s="1">
        <f>VLOOKUP($A3,[1]orizzontale!$A$1:$AO$36,21)</f>
        <v>0</v>
      </c>
      <c r="AF3" s="1">
        <f>VLOOKUP($A3,[1]orizzontale!$A$1:$AO$36,22)</f>
        <v>0</v>
      </c>
      <c r="AG3" s="1">
        <f>VLOOKUP($A3,[1]orizzontale!$A$1:$AO$36,23)</f>
        <v>0</v>
      </c>
      <c r="AH3" s="1">
        <f>VLOOKUP($A3,[1]orizzontale!$A$1:$AO$36,24)</f>
        <v>0</v>
      </c>
      <c r="AI3" s="1">
        <f>VLOOKUP($A3,[1]orizzontale!$A$1:$AO$36,25)</f>
        <v>0</v>
      </c>
      <c r="AJ3" s="1">
        <f>VLOOKUP($A3,[1]orizzontale!$A$1:$AO$36,26)</f>
        <v>0</v>
      </c>
      <c r="AK3" s="1">
        <f>VLOOKUP($A3,[1]orizzontale!$A$1:$AO$36,27)</f>
        <v>0</v>
      </c>
      <c r="AL3" s="1">
        <f>VLOOKUP($A3,[1]orizzontale!$A$1:$AO$36,28)</f>
        <v>0</v>
      </c>
      <c r="AM3" s="1">
        <f>VLOOKUP($A3,[1]orizzontale!$A$1:$AO$36,29)</f>
        <v>0</v>
      </c>
      <c r="AN3" s="1">
        <f>VLOOKUP($A3,[1]orizzontale!$A$1:$AO$36,30)</f>
        <v>0</v>
      </c>
      <c r="AO3" s="1">
        <f>VLOOKUP($A3,[1]orizzontale!$A$1:$AO$36,31)</f>
        <v>0</v>
      </c>
      <c r="AP3" s="1">
        <f>VLOOKUP($A3,[1]orizzontale!$A$1:$AO$36,32)</f>
        <v>0</v>
      </c>
      <c r="AQ3" s="1">
        <f>VLOOKUP($A3,[1]orizzontale!$A$1:$AO$36,33)</f>
        <v>0</v>
      </c>
      <c r="AR3" s="1">
        <f>VLOOKUP($A3,[1]orizzontale!$A$1:$AO$36,34)</f>
        <v>0</v>
      </c>
      <c r="AS3" s="1">
        <f>VLOOKUP($A3,[1]orizzontale!$A$1:$AO$36,35)</f>
        <v>0</v>
      </c>
      <c r="AT3" s="1">
        <f>VLOOKUP($A3,[1]orizzontale!$A$1:$AO$36,36)</f>
        <v>0</v>
      </c>
      <c r="AU3" s="1">
        <f>VLOOKUP($A3,[1]orizzontale!$A$1:$AO$36,37)</f>
        <v>0</v>
      </c>
      <c r="AV3" s="1">
        <f>VLOOKUP($A3,[1]orizzontale!$A$1:$AO$36,38)</f>
        <v>0</v>
      </c>
      <c r="AW3" s="1">
        <f>VLOOKUP($A3,[1]orizzontale!$A$1:$AO$36,39)</f>
        <v>0</v>
      </c>
      <c r="AX3" s="1">
        <f>VLOOKUP($A3,[1]orizzontale!$A$1:$AO$36,40)</f>
        <v>0</v>
      </c>
      <c r="AY3" s="1">
        <f>VLOOKUP($A3,[1]orizzontale!$A$1:$AO$36,41)</f>
        <v>0</v>
      </c>
    </row>
    <row r="4" spans="1:51" x14ac:dyDescent="0.3">
      <c r="A4" s="1">
        <v>932</v>
      </c>
      <c r="B4" s="1">
        <v>0.33</v>
      </c>
      <c r="C4" s="1">
        <v>4.76</v>
      </c>
      <c r="D4" s="1">
        <v>6.14</v>
      </c>
      <c r="E4" s="1">
        <v>1.08</v>
      </c>
      <c r="F4" s="1">
        <v>0</v>
      </c>
      <c r="G4" s="1">
        <v>0</v>
      </c>
      <c r="H4" s="1">
        <v>3</v>
      </c>
      <c r="L4" s="1">
        <f>VLOOKUP($A4,[1]orizzontale!$A$1:$AO$36,2)</f>
        <v>0</v>
      </c>
      <c r="M4" s="1">
        <f>VLOOKUP($A4,[1]orizzontale!$A$1:$AO$36,3)</f>
        <v>0</v>
      </c>
      <c r="N4" s="1">
        <f>VLOOKUP($A4,[1]orizzontale!$A$1:$AO$36,4)</f>
        <v>0</v>
      </c>
      <c r="O4" s="1">
        <f>VLOOKUP($A4,[1]orizzontale!$A$1:$AO$36,5)</f>
        <v>0</v>
      </c>
      <c r="P4" s="1">
        <f>VLOOKUP($A4,[1]orizzontale!$A$1:$AO$36,6)</f>
        <v>0</v>
      </c>
      <c r="Q4" s="1">
        <f>VLOOKUP($A4,[1]orizzontale!$A$1:$AO$36,7)</f>
        <v>0</v>
      </c>
      <c r="R4" s="1">
        <f>VLOOKUP($A4,[1]orizzontale!$A$1:$AO$36,8)</f>
        <v>0</v>
      </c>
      <c r="S4" s="1">
        <f>VLOOKUP($A4,[1]orizzontale!$A$1:$AO$36,9)</f>
        <v>0</v>
      </c>
      <c r="T4" s="1">
        <f>VLOOKUP($A4,[1]orizzontale!$A$1:$AO$36,10)</f>
        <v>0</v>
      </c>
      <c r="U4" s="1">
        <f>VLOOKUP($A4,[1]orizzontale!$A$1:$AO$36,11)</f>
        <v>0</v>
      </c>
      <c r="V4" s="1">
        <f>VLOOKUP($A4,[1]orizzontale!$A$1:$AO$36,12)</f>
        <v>0</v>
      </c>
      <c r="W4" s="1">
        <f>VLOOKUP($A4,[1]orizzontale!$A$1:$AO$36,13)</f>
        <v>0</v>
      </c>
      <c r="X4" s="1">
        <f>VLOOKUP($A4,[1]orizzontale!$A$1:$AO$36,14)</f>
        <v>0</v>
      </c>
      <c r="Y4" s="1">
        <f>VLOOKUP($A4,[1]orizzontale!$A$1:$AO$36,15)</f>
        <v>0</v>
      </c>
      <c r="Z4" s="1">
        <f>VLOOKUP($A4,[1]orizzontale!$A$1:$AO$36,16)</f>
        <v>0</v>
      </c>
      <c r="AA4" s="1">
        <f>VLOOKUP($A4,[1]orizzontale!$A$1:$AO$36,17)</f>
        <v>0</v>
      </c>
      <c r="AB4" s="1">
        <f>VLOOKUP($A4,[1]orizzontale!$A$1:$AO$36,18)</f>
        <v>0</v>
      </c>
      <c r="AC4" s="1">
        <f>VLOOKUP($A4,[1]orizzontale!$A$1:$AO$36,19)</f>
        <v>0</v>
      </c>
      <c r="AD4" s="1">
        <f>VLOOKUP($A4,[1]orizzontale!$A$1:$AO$36,20)</f>
        <v>0</v>
      </c>
      <c r="AE4" s="1">
        <f>VLOOKUP($A4,[1]orizzontale!$A$1:$AO$36,21)</f>
        <v>0</v>
      </c>
      <c r="AF4" s="1">
        <f>VLOOKUP($A4,[1]orizzontale!$A$1:$AO$36,22)</f>
        <v>0</v>
      </c>
      <c r="AG4" s="1">
        <f>VLOOKUP($A4,[1]orizzontale!$A$1:$AO$36,23)</f>
        <v>0</v>
      </c>
      <c r="AH4" s="1">
        <f>VLOOKUP($A4,[1]orizzontale!$A$1:$AO$36,24)</f>
        <v>0</v>
      </c>
      <c r="AI4" s="1">
        <f>VLOOKUP($A4,[1]orizzontale!$A$1:$AO$36,25)</f>
        <v>0</v>
      </c>
      <c r="AJ4" s="1">
        <f>VLOOKUP($A4,[1]orizzontale!$A$1:$AO$36,26)</f>
        <v>0</v>
      </c>
      <c r="AK4" s="1">
        <f>VLOOKUP($A4,[1]orizzontale!$A$1:$AO$36,27)</f>
        <v>0</v>
      </c>
      <c r="AL4" s="1">
        <f>VLOOKUP($A4,[1]orizzontale!$A$1:$AO$36,28)</f>
        <v>0</v>
      </c>
      <c r="AM4" s="1">
        <f>VLOOKUP($A4,[1]orizzontale!$A$1:$AO$36,29)</f>
        <v>0</v>
      </c>
      <c r="AN4" s="1">
        <f>VLOOKUP($A4,[1]orizzontale!$A$1:$AO$36,30)</f>
        <v>0</v>
      </c>
      <c r="AO4" s="1">
        <f>VLOOKUP($A4,[1]orizzontale!$A$1:$AO$36,31)</f>
        <v>0</v>
      </c>
      <c r="AP4" s="1">
        <f>VLOOKUP($A4,[1]orizzontale!$A$1:$AO$36,32)</f>
        <v>0</v>
      </c>
      <c r="AQ4" s="1">
        <f>VLOOKUP($A4,[1]orizzontale!$A$1:$AO$36,33)</f>
        <v>0</v>
      </c>
      <c r="AR4" s="1">
        <f>VLOOKUP($A4,[1]orizzontale!$A$1:$AO$36,34)</f>
        <v>0</v>
      </c>
      <c r="AS4" s="1">
        <f>VLOOKUP($A4,[1]orizzontale!$A$1:$AO$36,35)</f>
        <v>0</v>
      </c>
      <c r="AT4" s="1">
        <f>VLOOKUP($A4,[1]orizzontale!$A$1:$AO$36,36)</f>
        <v>0</v>
      </c>
      <c r="AU4" s="1">
        <f>VLOOKUP($A4,[1]orizzontale!$A$1:$AO$36,37)</f>
        <v>0</v>
      </c>
      <c r="AV4" s="1">
        <f>VLOOKUP($A4,[1]orizzontale!$A$1:$AO$36,38)</f>
        <v>0</v>
      </c>
      <c r="AW4" s="1">
        <f>VLOOKUP($A4,[1]orizzontale!$A$1:$AO$36,39)</f>
        <v>0</v>
      </c>
      <c r="AX4" s="1">
        <f>VLOOKUP($A4,[1]orizzontale!$A$1:$AO$36,40)</f>
        <v>0</v>
      </c>
      <c r="AY4" s="1">
        <f>VLOOKUP($A4,[1]orizzontale!$A$1:$AO$36,41)</f>
        <v>0</v>
      </c>
    </row>
    <row r="5" spans="1:51" x14ac:dyDescent="0.3">
      <c r="A5" s="1">
        <v>933</v>
      </c>
      <c r="B5" s="1">
        <v>0.31</v>
      </c>
      <c r="C5" s="1">
        <v>4.76</v>
      </c>
      <c r="D5" s="1">
        <v>6.14</v>
      </c>
      <c r="E5" s="1">
        <v>1.24</v>
      </c>
      <c r="F5" s="1">
        <v>0</v>
      </c>
      <c r="G5" s="1">
        <v>0</v>
      </c>
      <c r="H5" s="1">
        <v>2</v>
      </c>
      <c r="L5" s="1">
        <f>VLOOKUP($A5,[1]orizzontale!$A$1:$AO$36,2)</f>
        <v>0</v>
      </c>
      <c r="M5" s="1">
        <f>VLOOKUP($A5,[1]orizzontale!$A$1:$AO$36,3)</f>
        <v>0</v>
      </c>
      <c r="N5" s="1">
        <f>VLOOKUP($A5,[1]orizzontale!$A$1:$AO$36,4)</f>
        <v>0</v>
      </c>
      <c r="O5" s="1">
        <f>VLOOKUP($A5,[1]orizzontale!$A$1:$AO$36,5)</f>
        <v>0</v>
      </c>
      <c r="P5" s="1">
        <f>VLOOKUP($A5,[1]orizzontale!$A$1:$AO$36,6)</f>
        <v>0</v>
      </c>
      <c r="Q5" s="1">
        <f>VLOOKUP($A5,[1]orizzontale!$A$1:$AO$36,7)</f>
        <v>0</v>
      </c>
      <c r="R5" s="1">
        <f>VLOOKUP($A5,[1]orizzontale!$A$1:$AO$36,8)</f>
        <v>0</v>
      </c>
      <c r="S5" s="1">
        <f>VLOOKUP($A5,[1]orizzontale!$A$1:$AO$36,9)</f>
        <v>0</v>
      </c>
      <c r="T5" s="1">
        <f>VLOOKUP($A5,[1]orizzontale!$A$1:$AO$36,10)</f>
        <v>0</v>
      </c>
      <c r="U5" s="1">
        <f>VLOOKUP($A5,[1]orizzontale!$A$1:$AO$36,11)</f>
        <v>0</v>
      </c>
      <c r="V5" s="1">
        <f>VLOOKUP($A5,[1]orizzontale!$A$1:$AO$36,12)</f>
        <v>0</v>
      </c>
      <c r="W5" s="1">
        <f>VLOOKUP($A5,[1]orizzontale!$A$1:$AO$36,13)</f>
        <v>0</v>
      </c>
      <c r="X5" s="1">
        <f>VLOOKUP($A5,[1]orizzontale!$A$1:$AO$36,14)</f>
        <v>0</v>
      </c>
      <c r="Y5" s="1">
        <f>VLOOKUP($A5,[1]orizzontale!$A$1:$AO$36,15)</f>
        <v>0</v>
      </c>
      <c r="Z5" s="1">
        <f>VLOOKUP($A5,[1]orizzontale!$A$1:$AO$36,16)</f>
        <v>0</v>
      </c>
      <c r="AA5" s="1">
        <f>VLOOKUP($A5,[1]orizzontale!$A$1:$AO$36,17)</f>
        <v>0</v>
      </c>
      <c r="AB5" s="1">
        <f>VLOOKUP($A5,[1]orizzontale!$A$1:$AO$36,18)</f>
        <v>0</v>
      </c>
      <c r="AC5" s="1">
        <f>VLOOKUP($A5,[1]orizzontale!$A$1:$AO$36,19)</f>
        <v>0</v>
      </c>
      <c r="AD5" s="1">
        <f>VLOOKUP($A5,[1]orizzontale!$A$1:$AO$36,20)</f>
        <v>0</v>
      </c>
      <c r="AE5" s="1">
        <f>VLOOKUP($A5,[1]orizzontale!$A$1:$AO$36,21)</f>
        <v>0</v>
      </c>
      <c r="AF5" s="1">
        <f>VLOOKUP($A5,[1]orizzontale!$A$1:$AO$36,22)</f>
        <v>0</v>
      </c>
      <c r="AG5" s="1">
        <f>VLOOKUP($A5,[1]orizzontale!$A$1:$AO$36,23)</f>
        <v>0</v>
      </c>
      <c r="AH5" s="1">
        <f>VLOOKUP($A5,[1]orizzontale!$A$1:$AO$36,24)</f>
        <v>0</v>
      </c>
      <c r="AI5" s="1">
        <f>VLOOKUP($A5,[1]orizzontale!$A$1:$AO$36,25)</f>
        <v>0</v>
      </c>
      <c r="AJ5" s="1">
        <f>VLOOKUP($A5,[1]orizzontale!$A$1:$AO$36,26)</f>
        <v>0</v>
      </c>
      <c r="AK5" s="1">
        <f>VLOOKUP($A5,[1]orizzontale!$A$1:$AO$36,27)</f>
        <v>0</v>
      </c>
      <c r="AL5" s="1">
        <f>VLOOKUP($A5,[1]orizzontale!$A$1:$AO$36,28)</f>
        <v>0</v>
      </c>
      <c r="AM5" s="1">
        <f>VLOOKUP($A5,[1]orizzontale!$A$1:$AO$36,29)</f>
        <v>0</v>
      </c>
      <c r="AN5" s="1">
        <f>VLOOKUP($A5,[1]orizzontale!$A$1:$AO$36,30)</f>
        <v>0</v>
      </c>
      <c r="AO5" s="1">
        <f>VLOOKUP($A5,[1]orizzontale!$A$1:$AO$36,31)</f>
        <v>0</v>
      </c>
      <c r="AP5" s="1">
        <f>VLOOKUP($A5,[1]orizzontale!$A$1:$AO$36,32)</f>
        <v>0</v>
      </c>
      <c r="AQ5" s="1">
        <f>VLOOKUP($A5,[1]orizzontale!$A$1:$AO$36,33)</f>
        <v>0</v>
      </c>
      <c r="AR5" s="1">
        <f>VLOOKUP($A5,[1]orizzontale!$A$1:$AO$36,34)</f>
        <v>0</v>
      </c>
      <c r="AS5" s="1">
        <f>VLOOKUP($A5,[1]orizzontale!$A$1:$AO$36,35)</f>
        <v>0</v>
      </c>
      <c r="AT5" s="1">
        <f>VLOOKUP($A5,[1]orizzontale!$A$1:$AO$36,36)</f>
        <v>0</v>
      </c>
      <c r="AU5" s="1">
        <f>VLOOKUP($A5,[1]orizzontale!$A$1:$AO$36,37)</f>
        <v>0</v>
      </c>
      <c r="AV5" s="1">
        <f>VLOOKUP($A5,[1]orizzontale!$A$1:$AO$36,38)</f>
        <v>0</v>
      </c>
      <c r="AW5" s="1">
        <f>VLOOKUP($A5,[1]orizzontale!$A$1:$AO$36,39)</f>
        <v>0</v>
      </c>
      <c r="AX5" s="1">
        <f>VLOOKUP($A5,[1]orizzontale!$A$1:$AO$36,40)</f>
        <v>0</v>
      </c>
      <c r="AY5" s="1">
        <f>VLOOKUP($A5,[1]orizzontale!$A$1:$AO$36,41)</f>
        <v>0</v>
      </c>
    </row>
    <row r="6" spans="1:51" x14ac:dyDescent="0.3">
      <c r="A6" s="1">
        <v>934</v>
      </c>
      <c r="B6" s="1">
        <v>0.2</v>
      </c>
      <c r="C6" s="1">
        <v>4.76</v>
      </c>
      <c r="D6" s="1">
        <v>6.14</v>
      </c>
      <c r="E6" s="1">
        <v>0.93</v>
      </c>
      <c r="F6" s="1">
        <v>0</v>
      </c>
      <c r="G6" s="1">
        <v>0</v>
      </c>
      <c r="H6" s="1">
        <v>2</v>
      </c>
      <c r="L6" s="1">
        <f>VLOOKUP($A6,[1]orizzontale!$A$1:$AO$36,2)</f>
        <v>0</v>
      </c>
      <c r="M6" s="1">
        <f>VLOOKUP($A6,[1]orizzontale!$A$1:$AO$36,3)</f>
        <v>0</v>
      </c>
      <c r="N6" s="1">
        <f>VLOOKUP($A6,[1]orizzontale!$A$1:$AO$36,4)</f>
        <v>0</v>
      </c>
      <c r="O6" s="1">
        <f>VLOOKUP($A6,[1]orizzontale!$A$1:$AO$36,5)</f>
        <v>0</v>
      </c>
      <c r="P6" s="1">
        <f>VLOOKUP($A6,[1]orizzontale!$A$1:$AO$36,6)</f>
        <v>0</v>
      </c>
      <c r="Q6" s="1">
        <f>VLOOKUP($A6,[1]orizzontale!$A$1:$AO$36,7)</f>
        <v>0</v>
      </c>
      <c r="R6" s="1">
        <f>VLOOKUP($A6,[1]orizzontale!$A$1:$AO$36,8)</f>
        <v>0</v>
      </c>
      <c r="S6" s="1">
        <f>VLOOKUP($A6,[1]orizzontale!$A$1:$AO$36,9)</f>
        <v>0</v>
      </c>
      <c r="T6" s="1">
        <f>VLOOKUP($A6,[1]orizzontale!$A$1:$AO$36,10)</f>
        <v>0</v>
      </c>
      <c r="U6" s="1">
        <f>VLOOKUP($A6,[1]orizzontale!$A$1:$AO$36,11)</f>
        <v>0</v>
      </c>
      <c r="V6" s="1">
        <f>VLOOKUP($A6,[1]orizzontale!$A$1:$AO$36,12)</f>
        <v>0</v>
      </c>
      <c r="W6" s="1">
        <f>VLOOKUP($A6,[1]orizzontale!$A$1:$AO$36,13)</f>
        <v>0</v>
      </c>
      <c r="X6" s="1">
        <f>VLOOKUP($A6,[1]orizzontale!$A$1:$AO$36,14)</f>
        <v>0</v>
      </c>
      <c r="Y6" s="1">
        <f>VLOOKUP($A6,[1]orizzontale!$A$1:$AO$36,15)</f>
        <v>0</v>
      </c>
      <c r="Z6" s="1">
        <f>VLOOKUP($A6,[1]orizzontale!$A$1:$AO$36,16)</f>
        <v>0</v>
      </c>
      <c r="AA6" s="1">
        <f>VLOOKUP($A6,[1]orizzontale!$A$1:$AO$36,17)</f>
        <v>0</v>
      </c>
      <c r="AB6" s="1">
        <f>VLOOKUP($A6,[1]orizzontale!$A$1:$AO$36,18)</f>
        <v>0</v>
      </c>
      <c r="AC6" s="1">
        <f>VLOOKUP($A6,[1]orizzontale!$A$1:$AO$36,19)</f>
        <v>0</v>
      </c>
      <c r="AD6" s="1">
        <f>VLOOKUP($A6,[1]orizzontale!$A$1:$AO$36,20)</f>
        <v>0</v>
      </c>
      <c r="AE6" s="1">
        <f>VLOOKUP($A6,[1]orizzontale!$A$1:$AO$36,21)</f>
        <v>0</v>
      </c>
      <c r="AF6" s="1">
        <f>VLOOKUP($A6,[1]orizzontale!$A$1:$AO$36,22)</f>
        <v>0</v>
      </c>
      <c r="AG6" s="1">
        <f>VLOOKUP($A6,[1]orizzontale!$A$1:$AO$36,23)</f>
        <v>0</v>
      </c>
      <c r="AH6" s="1">
        <f>VLOOKUP($A6,[1]orizzontale!$A$1:$AO$36,24)</f>
        <v>0</v>
      </c>
      <c r="AI6" s="1">
        <f>VLOOKUP($A6,[1]orizzontale!$A$1:$AO$36,25)</f>
        <v>0</v>
      </c>
      <c r="AJ6" s="1">
        <f>VLOOKUP($A6,[1]orizzontale!$A$1:$AO$36,26)</f>
        <v>0</v>
      </c>
      <c r="AK6" s="1">
        <f>VLOOKUP($A6,[1]orizzontale!$A$1:$AO$36,27)</f>
        <v>0</v>
      </c>
      <c r="AL6" s="1">
        <f>VLOOKUP($A6,[1]orizzontale!$A$1:$AO$36,28)</f>
        <v>0</v>
      </c>
      <c r="AM6" s="1">
        <f>VLOOKUP($A6,[1]orizzontale!$A$1:$AO$36,29)</f>
        <v>0</v>
      </c>
      <c r="AN6" s="1">
        <f>VLOOKUP($A6,[1]orizzontale!$A$1:$AO$36,30)</f>
        <v>0</v>
      </c>
      <c r="AO6" s="1">
        <f>VLOOKUP($A6,[1]orizzontale!$A$1:$AO$36,31)</f>
        <v>0</v>
      </c>
      <c r="AP6" s="1">
        <f>VLOOKUP($A6,[1]orizzontale!$A$1:$AO$36,32)</f>
        <v>0</v>
      </c>
      <c r="AQ6" s="1">
        <f>VLOOKUP($A6,[1]orizzontale!$A$1:$AO$36,33)</f>
        <v>0</v>
      </c>
      <c r="AR6" s="1">
        <f>VLOOKUP($A6,[1]orizzontale!$A$1:$AO$36,34)</f>
        <v>0</v>
      </c>
      <c r="AS6" s="1">
        <f>VLOOKUP($A6,[1]orizzontale!$A$1:$AO$36,35)</f>
        <v>0</v>
      </c>
      <c r="AT6" s="1">
        <f>VLOOKUP($A6,[1]orizzontale!$A$1:$AO$36,36)</f>
        <v>0</v>
      </c>
      <c r="AU6" s="1">
        <f>VLOOKUP($A6,[1]orizzontale!$A$1:$AO$36,37)</f>
        <v>0</v>
      </c>
      <c r="AV6" s="1">
        <f>VLOOKUP($A6,[1]orizzontale!$A$1:$AO$36,38)</f>
        <v>0</v>
      </c>
      <c r="AW6" s="1">
        <f>VLOOKUP($A6,[1]orizzontale!$A$1:$AO$36,39)</f>
        <v>0</v>
      </c>
      <c r="AX6" s="1">
        <f>VLOOKUP($A6,[1]orizzontale!$A$1:$AO$36,40)</f>
        <v>0</v>
      </c>
      <c r="AY6" s="1">
        <f>VLOOKUP($A6,[1]orizzontale!$A$1:$AO$36,41)</f>
        <v>0</v>
      </c>
    </row>
    <row r="7" spans="1:51" x14ac:dyDescent="0.3">
      <c r="A7" s="1">
        <v>935</v>
      </c>
      <c r="B7" s="1">
        <v>0.17</v>
      </c>
      <c r="C7" s="1">
        <v>4.76</v>
      </c>
      <c r="D7" s="1">
        <v>7.29</v>
      </c>
      <c r="E7" s="1">
        <v>0.69</v>
      </c>
      <c r="F7" s="1">
        <v>0</v>
      </c>
      <c r="G7" s="1">
        <v>0</v>
      </c>
      <c r="H7" s="1">
        <v>3</v>
      </c>
      <c r="L7" s="1">
        <f>VLOOKUP($A7,[1]orizzontale!$A$1:$AO$36,2)</f>
        <v>0</v>
      </c>
      <c r="M7" s="1">
        <f>VLOOKUP($A7,[1]orizzontale!$A$1:$AO$36,3)</f>
        <v>0</v>
      </c>
      <c r="N7" s="1">
        <f>VLOOKUP($A7,[1]orizzontale!$A$1:$AO$36,4)</f>
        <v>0</v>
      </c>
      <c r="O7" s="1">
        <f>VLOOKUP($A7,[1]orizzontale!$A$1:$AO$36,5)</f>
        <v>0</v>
      </c>
      <c r="P7" s="1">
        <f>VLOOKUP($A7,[1]orizzontale!$A$1:$AO$36,6)</f>
        <v>0</v>
      </c>
      <c r="Q7" s="1">
        <f>VLOOKUP($A7,[1]orizzontale!$A$1:$AO$36,7)</f>
        <v>0</v>
      </c>
      <c r="R7" s="1">
        <f>VLOOKUP($A7,[1]orizzontale!$A$1:$AO$36,8)</f>
        <v>0</v>
      </c>
      <c r="S7" s="1">
        <f>VLOOKUP($A7,[1]orizzontale!$A$1:$AO$36,9)</f>
        <v>0</v>
      </c>
      <c r="T7" s="1">
        <f>VLOOKUP($A7,[1]orizzontale!$A$1:$AO$36,10)</f>
        <v>0</v>
      </c>
      <c r="U7" s="1">
        <f>VLOOKUP($A7,[1]orizzontale!$A$1:$AO$36,11)</f>
        <v>0</v>
      </c>
      <c r="V7" s="1">
        <f>VLOOKUP($A7,[1]orizzontale!$A$1:$AO$36,12)</f>
        <v>0</v>
      </c>
      <c r="W7" s="1">
        <f>VLOOKUP($A7,[1]orizzontale!$A$1:$AO$36,13)</f>
        <v>0</v>
      </c>
      <c r="X7" s="1">
        <f>VLOOKUP($A7,[1]orizzontale!$A$1:$AO$36,14)</f>
        <v>0</v>
      </c>
      <c r="Y7" s="1">
        <f>VLOOKUP($A7,[1]orizzontale!$A$1:$AO$36,15)</f>
        <v>0</v>
      </c>
      <c r="Z7" s="1">
        <f>VLOOKUP($A7,[1]orizzontale!$A$1:$AO$36,16)</f>
        <v>0</v>
      </c>
      <c r="AA7" s="1">
        <f>VLOOKUP($A7,[1]orizzontale!$A$1:$AO$36,17)</f>
        <v>0</v>
      </c>
      <c r="AB7" s="1">
        <f>VLOOKUP($A7,[1]orizzontale!$A$1:$AO$36,18)</f>
        <v>0</v>
      </c>
      <c r="AC7" s="1">
        <f>VLOOKUP($A7,[1]orizzontale!$A$1:$AO$36,19)</f>
        <v>0</v>
      </c>
      <c r="AD7" s="1">
        <f>VLOOKUP($A7,[1]orizzontale!$A$1:$AO$36,20)</f>
        <v>0</v>
      </c>
      <c r="AE7" s="1">
        <f>VLOOKUP($A7,[1]orizzontale!$A$1:$AO$36,21)</f>
        <v>0</v>
      </c>
      <c r="AF7" s="1">
        <f>VLOOKUP($A7,[1]orizzontale!$A$1:$AO$36,22)</f>
        <v>0</v>
      </c>
      <c r="AG7" s="1">
        <f>VLOOKUP($A7,[1]orizzontale!$A$1:$AO$36,23)</f>
        <v>0</v>
      </c>
      <c r="AH7" s="1">
        <f>VLOOKUP($A7,[1]orizzontale!$A$1:$AO$36,24)</f>
        <v>0</v>
      </c>
      <c r="AI7" s="1">
        <f>VLOOKUP($A7,[1]orizzontale!$A$1:$AO$36,25)</f>
        <v>0</v>
      </c>
      <c r="AJ7" s="1">
        <f>VLOOKUP($A7,[1]orizzontale!$A$1:$AO$36,26)</f>
        <v>0</v>
      </c>
      <c r="AK7" s="1">
        <f>VLOOKUP($A7,[1]orizzontale!$A$1:$AO$36,27)</f>
        <v>0</v>
      </c>
      <c r="AL7" s="1">
        <f>VLOOKUP($A7,[1]orizzontale!$A$1:$AO$36,28)</f>
        <v>0</v>
      </c>
      <c r="AM7" s="1">
        <f>VLOOKUP($A7,[1]orizzontale!$A$1:$AO$36,29)</f>
        <v>0</v>
      </c>
      <c r="AN7" s="1">
        <f>VLOOKUP($A7,[1]orizzontale!$A$1:$AO$36,30)</f>
        <v>0</v>
      </c>
      <c r="AO7" s="1">
        <f>VLOOKUP($A7,[1]orizzontale!$A$1:$AO$36,31)</f>
        <v>0</v>
      </c>
      <c r="AP7" s="1">
        <f>VLOOKUP($A7,[1]orizzontale!$A$1:$AO$36,32)</f>
        <v>0</v>
      </c>
      <c r="AQ7" s="1">
        <f>VLOOKUP($A7,[1]orizzontale!$A$1:$AO$36,33)</f>
        <v>0</v>
      </c>
      <c r="AR7" s="1">
        <f>VLOOKUP($A7,[1]orizzontale!$A$1:$AO$36,34)</f>
        <v>0</v>
      </c>
      <c r="AS7" s="1">
        <f>VLOOKUP($A7,[1]orizzontale!$A$1:$AO$36,35)</f>
        <v>0</v>
      </c>
      <c r="AT7" s="1">
        <f>VLOOKUP($A7,[1]orizzontale!$A$1:$AO$36,36)</f>
        <v>0</v>
      </c>
      <c r="AU7" s="1">
        <f>VLOOKUP($A7,[1]orizzontale!$A$1:$AO$36,37)</f>
        <v>0</v>
      </c>
      <c r="AV7" s="1">
        <f>VLOOKUP($A7,[1]orizzontale!$A$1:$AO$36,38)</f>
        <v>0</v>
      </c>
      <c r="AW7" s="1">
        <f>VLOOKUP($A7,[1]orizzontale!$A$1:$AO$36,39)</f>
        <v>0</v>
      </c>
      <c r="AX7" s="1">
        <f>VLOOKUP($A7,[1]orizzontale!$A$1:$AO$36,40)</f>
        <v>0</v>
      </c>
      <c r="AY7" s="1">
        <f>VLOOKUP($A7,[1]orizzontale!$A$1:$AO$36,41)</f>
        <v>0</v>
      </c>
    </row>
    <row r="8" spans="1:51" x14ac:dyDescent="0.3">
      <c r="A8" s="1">
        <v>936</v>
      </c>
      <c r="B8" s="1">
        <v>0.33</v>
      </c>
      <c r="C8" s="1">
        <v>4.3</v>
      </c>
      <c r="D8" s="1">
        <v>5.45</v>
      </c>
      <c r="E8" s="1">
        <v>1.22</v>
      </c>
      <c r="F8" s="1">
        <v>0</v>
      </c>
      <c r="G8" s="1">
        <v>0</v>
      </c>
      <c r="H8" s="1">
        <v>4</v>
      </c>
      <c r="L8" s="1">
        <f>VLOOKUP($A8,[1]orizzontale!$A$1:$AO$36,2)</f>
        <v>0</v>
      </c>
      <c r="M8" s="1">
        <f>VLOOKUP($A8,[1]orizzontale!$A$1:$AO$36,3)</f>
        <v>0</v>
      </c>
      <c r="N8" s="1">
        <f>VLOOKUP($A8,[1]orizzontale!$A$1:$AO$36,4)</f>
        <v>0</v>
      </c>
      <c r="O8" s="1">
        <f>VLOOKUP($A8,[1]orizzontale!$A$1:$AO$36,5)</f>
        <v>0</v>
      </c>
      <c r="P8" s="1">
        <f>VLOOKUP($A8,[1]orizzontale!$A$1:$AO$36,6)</f>
        <v>0</v>
      </c>
      <c r="Q8" s="1">
        <f>VLOOKUP($A8,[1]orizzontale!$A$1:$AO$36,7)</f>
        <v>0</v>
      </c>
      <c r="R8" s="1">
        <f>VLOOKUP($A8,[1]orizzontale!$A$1:$AO$36,8)</f>
        <v>0</v>
      </c>
      <c r="S8" s="1">
        <f>VLOOKUP($A8,[1]orizzontale!$A$1:$AO$36,9)</f>
        <v>0</v>
      </c>
      <c r="T8" s="1">
        <f>VLOOKUP($A8,[1]orizzontale!$A$1:$AO$36,10)</f>
        <v>0</v>
      </c>
      <c r="U8" s="1">
        <f>VLOOKUP($A8,[1]orizzontale!$A$1:$AO$36,11)</f>
        <v>0</v>
      </c>
      <c r="V8" s="1">
        <f>VLOOKUP($A8,[1]orizzontale!$A$1:$AO$36,12)</f>
        <v>0</v>
      </c>
      <c r="W8" s="1">
        <f>VLOOKUP($A8,[1]orizzontale!$A$1:$AO$36,13)</f>
        <v>0</v>
      </c>
      <c r="X8" s="1">
        <f>VLOOKUP($A8,[1]orizzontale!$A$1:$AO$36,14)</f>
        <v>0</v>
      </c>
      <c r="Y8" s="1">
        <f>VLOOKUP($A8,[1]orizzontale!$A$1:$AO$36,15)</f>
        <v>0</v>
      </c>
      <c r="Z8" s="1">
        <f>VLOOKUP($A8,[1]orizzontale!$A$1:$AO$36,16)</f>
        <v>0</v>
      </c>
      <c r="AA8" s="1">
        <f>VLOOKUP($A8,[1]orizzontale!$A$1:$AO$36,17)</f>
        <v>0</v>
      </c>
      <c r="AB8" s="1">
        <f>VLOOKUP($A8,[1]orizzontale!$A$1:$AO$36,18)</f>
        <v>0</v>
      </c>
      <c r="AC8" s="1">
        <f>VLOOKUP($A8,[1]orizzontale!$A$1:$AO$36,19)</f>
        <v>0</v>
      </c>
      <c r="AD8" s="1">
        <f>VLOOKUP($A8,[1]orizzontale!$A$1:$AO$36,20)</f>
        <v>0</v>
      </c>
      <c r="AE8" s="1">
        <f>VLOOKUP($A8,[1]orizzontale!$A$1:$AO$36,21)</f>
        <v>0</v>
      </c>
      <c r="AF8" s="1">
        <f>VLOOKUP($A8,[1]orizzontale!$A$1:$AO$36,22)</f>
        <v>0</v>
      </c>
      <c r="AG8" s="1">
        <f>VLOOKUP($A8,[1]orizzontale!$A$1:$AO$36,23)</f>
        <v>0</v>
      </c>
      <c r="AH8" s="1">
        <f>VLOOKUP($A8,[1]orizzontale!$A$1:$AO$36,24)</f>
        <v>0</v>
      </c>
      <c r="AI8" s="1">
        <f>VLOOKUP($A8,[1]orizzontale!$A$1:$AO$36,25)</f>
        <v>0</v>
      </c>
      <c r="AJ8" s="1">
        <f>VLOOKUP($A8,[1]orizzontale!$A$1:$AO$36,26)</f>
        <v>0</v>
      </c>
      <c r="AK8" s="1">
        <f>VLOOKUP($A8,[1]orizzontale!$A$1:$AO$36,27)</f>
        <v>0</v>
      </c>
      <c r="AL8" s="1">
        <f>VLOOKUP($A8,[1]orizzontale!$A$1:$AO$36,28)</f>
        <v>0</v>
      </c>
      <c r="AM8" s="1">
        <f>VLOOKUP($A8,[1]orizzontale!$A$1:$AO$36,29)</f>
        <v>0</v>
      </c>
      <c r="AN8" s="1">
        <f>VLOOKUP($A8,[1]orizzontale!$A$1:$AO$36,30)</f>
        <v>0</v>
      </c>
      <c r="AO8" s="1">
        <f>VLOOKUP($A8,[1]orizzontale!$A$1:$AO$36,31)</f>
        <v>0</v>
      </c>
      <c r="AP8" s="1">
        <f>VLOOKUP($A8,[1]orizzontale!$A$1:$AO$36,32)</f>
        <v>0</v>
      </c>
      <c r="AQ8" s="1">
        <f>VLOOKUP($A8,[1]orizzontale!$A$1:$AO$36,33)</f>
        <v>0</v>
      </c>
      <c r="AR8" s="1">
        <f>VLOOKUP($A8,[1]orizzontale!$A$1:$AO$36,34)</f>
        <v>0</v>
      </c>
      <c r="AS8" s="1">
        <f>VLOOKUP($A8,[1]orizzontale!$A$1:$AO$36,35)</f>
        <v>0</v>
      </c>
      <c r="AT8" s="1">
        <f>VLOOKUP($A8,[1]orizzontale!$A$1:$AO$36,36)</f>
        <v>0</v>
      </c>
      <c r="AU8" s="1">
        <f>VLOOKUP($A8,[1]orizzontale!$A$1:$AO$36,37)</f>
        <v>0</v>
      </c>
      <c r="AV8" s="1">
        <f>VLOOKUP($A8,[1]orizzontale!$A$1:$AO$36,38)</f>
        <v>0</v>
      </c>
      <c r="AW8" s="1">
        <f>VLOOKUP($A8,[1]orizzontale!$A$1:$AO$36,39)</f>
        <v>0</v>
      </c>
      <c r="AX8" s="1">
        <f>VLOOKUP($A8,[1]orizzontale!$A$1:$AO$36,40)</f>
        <v>0</v>
      </c>
      <c r="AY8" s="1">
        <f>VLOOKUP($A8,[1]orizzontale!$A$1:$AO$36,41)</f>
        <v>0</v>
      </c>
    </row>
  </sheetData>
  <sortState xmlns:xlrd2="http://schemas.microsoft.com/office/spreadsheetml/2017/richdata2" ref="A2:AY9">
    <sortCondition ref="A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Endrizzi</dc:creator>
  <cp:lastModifiedBy>Utente</cp:lastModifiedBy>
  <dcterms:created xsi:type="dcterms:W3CDTF">2015-06-05T18:19:34Z</dcterms:created>
  <dcterms:modified xsi:type="dcterms:W3CDTF">2020-11-18T15:43:51Z</dcterms:modified>
</cp:coreProperties>
</file>